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3040" windowHeight="9192"/>
  </bookViews>
  <sheets>
    <sheet name="Sheet1" sheetId="1" r:id="rId1"/>
  </sheets>
  <functionGroups builtInGroupCount="17"/>
  <definedNames>
    <definedName name="solver_adj" localSheetId="0" hidden="1">Sheet1!$D$10:$D$15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Sheet1!$C$14</definedName>
    <definedName name="solver_lhs10" localSheetId="0" hidden="1">Sheet1!$F$11</definedName>
    <definedName name="solver_lhs11" localSheetId="0" hidden="1">Sheet1!$F$12</definedName>
    <definedName name="solver_lhs12" localSheetId="0" hidden="1">Sheet1!$F$13</definedName>
    <definedName name="solver_lhs2" localSheetId="0" hidden="1">Sheet1!$C$15</definedName>
    <definedName name="solver_lhs3" localSheetId="0" hidden="1">Sheet1!$C$10</definedName>
    <definedName name="solver_lhs4" localSheetId="0" hidden="1">Sheet1!$C$11</definedName>
    <definedName name="solver_lhs5" localSheetId="0" hidden="1">Sheet1!$C$12</definedName>
    <definedName name="solver_lhs6" localSheetId="0" hidden="1">Sheet1!$C$13</definedName>
    <definedName name="solver_lhs7" localSheetId="0" hidden="1">Sheet1!$F$14</definedName>
    <definedName name="solver_lhs8" localSheetId="0" hidden="1">Sheet1!$F$15</definedName>
    <definedName name="solver_lhs9" localSheetId="0" hidden="1">Sheet1!$F$10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12</definedName>
    <definedName name="solver_nwt" localSheetId="0" hidden="1">1</definedName>
    <definedName name="solver_opt" localSheetId="0" hidden="1">Sheet1!$D$16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2" localSheetId="0" hidden="1">4</definedName>
    <definedName name="solver_rel3" localSheetId="0" hidden="1">4</definedName>
    <definedName name="solver_rel4" localSheetId="0" hidden="1">4</definedName>
    <definedName name="solver_rel5" localSheetId="0" hidden="1">4</definedName>
    <definedName name="solver_rel6" localSheetId="0" hidden="1">4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"integer"</definedName>
    <definedName name="solver_rhs10" localSheetId="0" hidden="1">3</definedName>
    <definedName name="solver_rhs11" localSheetId="0" hidden="1">3</definedName>
    <definedName name="solver_rhs12" localSheetId="0" hidden="1">3</definedName>
    <definedName name="solver_rhs2" localSheetId="0" hidden="1">"integer"</definedName>
    <definedName name="solver_rhs3" localSheetId="0" hidden="1">"integer"</definedName>
    <definedName name="solver_rhs4" localSheetId="0" hidden="1">"integer"</definedName>
    <definedName name="solver_rhs5" localSheetId="0" hidden="1">"integer"</definedName>
    <definedName name="solver_rhs6" localSheetId="0" hidden="1">"integer"</definedName>
    <definedName name="solver_rhs7" localSheetId="0" hidden="1">3</definedName>
    <definedName name="solver_rhs8" localSheetId="0" hidden="1">3</definedName>
    <definedName name="solver_rhs9" localSheetId="0" hidden="1">3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6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G59" i="1" l="1"/>
  <c r="F59" i="1"/>
  <c r="E59" i="1"/>
  <c r="E29" i="1" l="1"/>
  <c r="G39" i="1" l="1"/>
  <c r="F39" i="1"/>
  <c r="E39" i="1"/>
  <c r="G49" i="1"/>
  <c r="F49" i="1"/>
  <c r="E49" i="1"/>
  <c r="E19" i="1" l="1"/>
  <c r="F19" i="1"/>
  <c r="G19" i="1"/>
  <c r="G29" i="1"/>
  <c r="F29" i="1"/>
  <c r="F13" i="1"/>
  <c r="D16" i="1" l="1"/>
  <c r="E16" i="1"/>
  <c r="C16" i="1"/>
  <c r="F10" i="1"/>
  <c r="F11" i="1"/>
  <c r="F12" i="1"/>
  <c r="F14" i="1"/>
  <c r="F15" i="1"/>
  <c r="B15" i="1" l="1"/>
  <c r="B13" i="1"/>
  <c r="B14" i="1"/>
  <c r="B12" i="1"/>
  <c r="B11" i="1"/>
  <c r="B10" i="1"/>
</calcChain>
</file>

<file path=xl/sharedStrings.xml><?xml version="1.0" encoding="utf-8"?>
<sst xmlns="http://schemas.openxmlformats.org/spreadsheetml/2006/main" count="32" uniqueCount="26">
  <si>
    <t>Kira Hamelink</t>
  </si>
  <si>
    <t>Apriori Algorithm Example</t>
  </si>
  <si>
    <t xml:space="preserve">  </t>
  </si>
  <si>
    <t>P</t>
  </si>
  <si>
    <t>B</t>
  </si>
  <si>
    <t>O</t>
  </si>
  <si>
    <t>Min Support Threshold:</t>
  </si>
  <si>
    <t>Handful</t>
  </si>
  <si>
    <t>Candies</t>
  </si>
  <si>
    <t>Purple</t>
  </si>
  <si>
    <t>Black</t>
  </si>
  <si>
    <t>Orange</t>
  </si>
  <si>
    <t>Totals</t>
  </si>
  <si>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</si>
  <si>
    <t>Count</t>
  </si>
  <si>
    <r>
      <t>L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</si>
  <si>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</si>
  <si>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L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</si>
  <si>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</si>
  <si>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L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</si>
  <si>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</si>
  <si>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L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</si>
  <si>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</si>
  <si>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L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</si>
  <si>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</si>
  <si>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L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</si>
</sst>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left" vertical="top"/>
    </xf>
    <xf numFmtId="0" fontId="1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0" xfId="0" applyFill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0" xfId="0" applyFill="1" applyBorder="1" applyAlignment="1">
      <alignment horizontal="left"/>
    </xf>
    <xf numFmtId="0" fontId="0" fillId="4" borderId="4" xfId="0" applyFill="1" applyBorder="1" applyAlignment="1">
      <alignment horizontal="center"/>
    </xf>
    <xf numFmtId="0" fontId="0" fillId="4" borderId="11" xfId="0" applyFill="1" applyBorder="1" applyAlignment="1">
      <alignment horizontal="left"/>
    </xf>
    <xf numFmtId="0" fontId="0" fillId="4" borderId="1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5" xfId="0" applyBorder="1" applyAlignment="1">
      <alignment horizontal="right" indent="1"/>
    </xf>
    <xf numFmtId="0" fontId="0" fillId="0" borderId="6" xfId="0" applyBorder="1" applyAlignment="1">
      <alignment horizontal="right" indent="1"/>
    </xf>
  </cellXfs>
  <cellStyles count="1">
    <cellStyle name="Normal" xfId="0" builtinId="0"/>
  </cellStyles>
  <dxfs count="1">
    <dxf>
      <font>
        <b/>
        <i/>
      </font>
      <fill>
        <patternFill patternType="solid"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142875</xdr:rowOff>
    </xdr:from>
    <xdr:to>
      <xdr:col>1</xdr:col>
      <xdr:colOff>561975</xdr:colOff>
      <xdr:row>6</xdr:row>
      <xdr:rowOff>47625</xdr:rowOff>
    </xdr:to>
    <xdr:sp macro="[0]!TrickOrTreat" textlink="">
      <xdr:nvSpPr>
        <xdr:cNvPr id="3" name="Cube 2" descr="11400a41-b1f3-4f52-9579-e483bc9237e9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781050" y="142875"/>
          <a:ext cx="1095375" cy="476250"/>
        </a:xfrm>
        <a:prstGeom prst="cube">
          <a:avLst>
            <a:gd name="adj" fmla="val 11000"/>
          </a:avLst>
        </a:prstGeom>
        <a:solidFill>
          <a:schemeClr val="accent6">
            <a:lumMod val="60000"/>
            <a:lumOff val="40000"/>
          </a:schemeClr>
        </a:solidFill>
        <a:ln w="31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Trick</a:t>
          </a:r>
          <a:r>
            <a:rPr lang="en-US" sz="1200" baseline="0">
              <a:solidFill>
                <a:sysClr val="windowText" lastClr="000000"/>
              </a:solidFill>
            </a:rPr>
            <a:t> or Treat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223838</xdr:colOff>
      <xdr:row>3</xdr:row>
      <xdr:rowOff>171453</xdr:rowOff>
    </xdr:from>
    <xdr:to>
      <xdr:col>5</xdr:col>
      <xdr:colOff>542925</xdr:colOff>
      <xdr:row>6</xdr:row>
      <xdr:rowOff>33343</xdr:rowOff>
    </xdr:to>
    <xdr:sp macro="[0]!RunApriori" textlink="">
      <xdr:nvSpPr>
        <xdr:cNvPr id="4" name="Isosceles Triangle 3" descr="a9fcb84d-a94f-473d-b0a2-7ec77f351eab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 rot="5400000">
          <a:off x="3452812" y="800104"/>
          <a:ext cx="433390" cy="319087"/>
        </a:xfrm>
        <a:prstGeom prst="triangle">
          <a:avLst/>
        </a:prstGeom>
        <a:solidFill>
          <a:schemeClr val="tx1"/>
        </a:solidFill>
        <a:ln w="3175"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99060</xdr:colOff>
          <xdr:row>3</xdr:row>
          <xdr:rowOff>60960</xdr:rowOff>
        </xdr:to>
        <xdr:sp macro="" textlink="">
          <xdr:nvSpPr>
            <xdr:cNvPr id="1025" name="doPrunin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 pruning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47155</xdr:colOff>
      <xdr:row>4</xdr:row>
      <xdr:rowOff>18861</xdr:rowOff>
    </xdr:from>
    <xdr:to>
      <xdr:col>7</xdr:col>
      <xdr:colOff>433812</xdr:colOff>
      <xdr:row>5</xdr:row>
      <xdr:rowOff>103737</xdr:rowOff>
    </xdr:to>
    <xdr:sp macro="[0]!ClearOutputs" textlink="">
      <xdr:nvSpPr>
        <xdr:cNvPr id="6" name="Cube 5" descr="11400a41-b1f3-4f52-9579-e483bc9237e9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4008046" y="745024"/>
          <a:ext cx="1046806" cy="264060"/>
        </a:xfrm>
        <a:prstGeom prst="cube">
          <a:avLst>
            <a:gd name="adj" fmla="val 11000"/>
          </a:avLst>
        </a:prstGeom>
        <a:solidFill>
          <a:schemeClr val="accent4">
            <a:lumMod val="20000"/>
            <a:lumOff val="80000"/>
          </a:schemeClr>
        </a:solidFill>
        <a:ln w="3175"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8"/>
  <sheetViews>
    <sheetView tabSelected="1" zoomScale="101" workbookViewId="0">
      <selection activeCell="K4" sqref="K4"/>
    </sheetView>
  </sheetViews>
  <sheetFormatPr defaultColWidth="9.88671875" defaultRowHeight="14.4" x14ac:dyDescent="0.3"/>
  <cols>
    <col min="1" max="1" width="9.88671875" style="1"/>
    <col min="2" max="2" width="9.88671875" style="1" customWidth="1"/>
    <col min="3" max="16384" width="9.88671875" style="1"/>
  </cols>
  <sheetData>
    <row r="1" spans="1:9" x14ac:dyDescent="0.3">
      <c r="A1" s="6" t="s">
        <v>0</v>
      </c>
      <c r="B1" s="6"/>
      <c r="C1" s="6"/>
    </row>
    <row r="2" spans="1:9" x14ac:dyDescent="0.3">
      <c r="A2" s="6" t="s">
        <v>1</v>
      </c>
      <c r="B2" s="6"/>
      <c r="C2" s="6"/>
    </row>
    <row r="3" spans="1:9" x14ac:dyDescent="0.3">
      <c r="B3" s="6"/>
      <c r="C3" s="6"/>
      <c r="I3" s="1" t="s">
        <v>2</v>
      </c>
    </row>
    <row r="5" spans="1:9" x14ac:dyDescent="0.3">
      <c r="C5" s="32" t="s">
        <v>3</v>
      </c>
      <c r="D5" s="32" t="s">
        <v>4</v>
      </c>
      <c r="E5" s="32" t="s">
        <v>5</v>
      </c>
    </row>
    <row r="7" spans="1:9" ht="9" customHeight="1" x14ac:dyDescent="0.3"/>
    <row r="8" spans="1:9" x14ac:dyDescent="0.3">
      <c r="A8" s="33" t="s">
        <v>6</v>
      </c>
      <c r="B8" s="33"/>
      <c r="C8" s="33"/>
      <c r="D8" s="33"/>
      <c r="E8" s="34"/>
      <c r="F8" s="8">
        <v>2</v>
      </c>
    </row>
    <row r="9" spans="1:9" x14ac:dyDescent="0.3">
      <c r="A9" s="3" t="s">
        <v>7</v>
      </c>
      <c r="B9" s="2" t="s">
        <v>8</v>
      </c>
      <c r="C9" s="2" t="s">
        <v>9</v>
      </c>
      <c r="D9" s="2" t="s">
        <v>10</v>
      </c>
      <c r="E9" s="4" t="s">
        <v>11</v>
      </c>
      <c r="F9" s="2" t="s">
        <v>12</v>
      </c>
    </row>
    <row r="10" spans="1:9" x14ac:dyDescent="0.3">
      <c r="A10" s="21">
        <v>1</v>
      </c>
      <c r="B10" s="22" t="str">
        <f>REPT("P",C10)&amp;REPT("B",D10)&amp;REPT("O",E10)</f>
        <v>P</v>
      </c>
      <c r="C10" s="23">
        <v>1</v>
      </c>
      <c r="D10" s="24">
        <v>0</v>
      </c>
      <c r="E10" s="25">
        <v>0</v>
      </c>
      <c r="F10" s="26">
        <f>SUM(C10:E10)</f>
        <v>1</v>
      </c>
    </row>
    <row r="11" spans="1:9" x14ac:dyDescent="0.3">
      <c r="A11" s="21">
        <v>2</v>
      </c>
      <c r="B11" s="27" t="str">
        <f t="shared" ref="B11:B15" si="0">REPT("P",C11)&amp;REPT("B",D11)&amp;REPT("O",E11)</f>
        <v>PO</v>
      </c>
      <c r="C11" s="23">
        <v>1</v>
      </c>
      <c r="D11" s="26">
        <v>0</v>
      </c>
      <c r="E11" s="25">
        <v>1</v>
      </c>
      <c r="F11" s="26">
        <f t="shared" ref="F11:F15" si="1">SUM(C11:E11)</f>
        <v>2</v>
      </c>
    </row>
    <row r="12" spans="1:9" x14ac:dyDescent="0.3">
      <c r="A12" s="21">
        <v>3</v>
      </c>
      <c r="B12" s="27" t="str">
        <f t="shared" si="0"/>
        <v>BBOO</v>
      </c>
      <c r="C12" s="23">
        <v>0</v>
      </c>
      <c r="D12" s="26">
        <v>2</v>
      </c>
      <c r="E12" s="25">
        <v>2</v>
      </c>
      <c r="F12" s="26">
        <f t="shared" si="1"/>
        <v>4</v>
      </c>
    </row>
    <row r="13" spans="1:9" x14ac:dyDescent="0.3">
      <c r="A13" s="21">
        <v>4</v>
      </c>
      <c r="B13" s="27" t="str">
        <f t="shared" si="0"/>
        <v>PPBOO</v>
      </c>
      <c r="C13" s="23">
        <v>2</v>
      </c>
      <c r="D13" s="26">
        <v>1</v>
      </c>
      <c r="E13" s="25">
        <v>2</v>
      </c>
      <c r="F13" s="26">
        <f>SUM(C13:E13)</f>
        <v>5</v>
      </c>
    </row>
    <row r="14" spans="1:9" x14ac:dyDescent="0.3">
      <c r="A14" s="21">
        <v>5</v>
      </c>
      <c r="B14" s="27" t="str">
        <f t="shared" si="0"/>
        <v>PBOO</v>
      </c>
      <c r="C14" s="23">
        <v>1</v>
      </c>
      <c r="D14" s="26">
        <v>1</v>
      </c>
      <c r="E14" s="25">
        <v>2</v>
      </c>
      <c r="F14" s="26">
        <f t="shared" si="1"/>
        <v>4</v>
      </c>
    </row>
    <row r="15" spans="1:9" x14ac:dyDescent="0.3">
      <c r="A15" s="28">
        <v>6</v>
      </c>
      <c r="B15" s="29" t="str">
        <f t="shared" si="0"/>
        <v>PBB</v>
      </c>
      <c r="C15" s="23">
        <v>1</v>
      </c>
      <c r="D15" s="30">
        <v>2</v>
      </c>
      <c r="E15" s="31">
        <v>0</v>
      </c>
      <c r="F15" s="30">
        <f t="shared" si="1"/>
        <v>3</v>
      </c>
    </row>
    <row r="16" spans="1:9" x14ac:dyDescent="0.3">
      <c r="B16" s="1" t="s">
        <v>12</v>
      </c>
      <c r="C16" s="3">
        <f>SUM(C10:C15)</f>
        <v>6</v>
      </c>
      <c r="D16" s="2">
        <f t="shared" ref="D16:E16" si="2">SUM(D10:D15)</f>
        <v>6</v>
      </c>
      <c r="E16" s="4">
        <f t="shared" si="2"/>
        <v>7</v>
      </c>
    </row>
    <row r="17" spans="1:8" ht="9.75" customHeight="1" x14ac:dyDescent="0.3"/>
    <row r="18" spans="1:8" x14ac:dyDescent="0.3">
      <c r="E18" s="10"/>
      <c r="F18" s="10"/>
      <c r="G18" s="10"/>
      <c r="H18" s="10"/>
    </row>
    <row r="19" spans="1:8" ht="15.6" x14ac:dyDescent="0.35">
      <c r="A19" s="7" t="s">
        <v>13</v>
      </c>
      <c r="B19" s="2" t="s">
        <v>14</v>
      </c>
      <c r="C19" s="7" t="s">
        <v>15</v>
      </c>
      <c r="E19" s="10">
        <f t="shared" ref="E19" si="3">COUNTIF(C20:C25, "*P*")</f>
        <v>0</v>
      </c>
      <c r="F19" s="10">
        <f t="shared" ref="F19" si="4">COUNTIF(C20:C25, "*B*")</f>
        <v>0</v>
      </c>
      <c r="G19" s="10">
        <f t="shared" ref="G19" si="5">COUNTIF(C20:C25, "*O*")</f>
        <v>0</v>
      </c>
      <c r="H19" s="10"/>
    </row>
    <row r="20" spans="1:8" x14ac:dyDescent="0.3">
      <c r="A20" s="13"/>
      <c r="B20" s="13"/>
      <c r="C20" s="13"/>
      <c r="E20" s="10"/>
      <c r="F20" s="10"/>
      <c r="G20" s="10"/>
      <c r="H20" s="10"/>
    </row>
    <row r="21" spans="1:8" x14ac:dyDescent="0.3">
      <c r="A21" s="14"/>
      <c r="B21" s="14"/>
      <c r="C21" s="14"/>
      <c r="E21" s="10"/>
      <c r="F21" s="10"/>
      <c r="G21" s="10"/>
      <c r="H21" s="10"/>
    </row>
    <row r="22" spans="1:8" x14ac:dyDescent="0.3">
      <c r="A22" s="15"/>
      <c r="B22" s="15"/>
      <c r="C22" s="15"/>
      <c r="E22" s="10"/>
      <c r="F22" s="10"/>
      <c r="G22" s="10"/>
      <c r="H22" s="10"/>
    </row>
    <row r="23" spans="1:8" hidden="1" x14ac:dyDescent="0.3">
      <c r="A23" s="16"/>
      <c r="B23" s="16"/>
      <c r="C23" s="16"/>
      <c r="E23" s="10"/>
      <c r="F23" s="10"/>
      <c r="G23" s="10"/>
      <c r="H23" s="10"/>
    </row>
    <row r="24" spans="1:8" hidden="1" x14ac:dyDescent="0.3">
      <c r="E24" s="10"/>
      <c r="F24" s="10"/>
      <c r="G24" s="10"/>
      <c r="H24" s="10"/>
    </row>
    <row r="25" spans="1:8" hidden="1" x14ac:dyDescent="0.3">
      <c r="E25" s="10"/>
      <c r="F25" s="10"/>
      <c r="G25" s="10"/>
      <c r="H25" s="10"/>
    </row>
    <row r="26" spans="1:8" hidden="1" x14ac:dyDescent="0.3">
      <c r="E26" s="10"/>
      <c r="F26" s="10"/>
      <c r="G26" s="10"/>
      <c r="H26" s="10"/>
    </row>
    <row r="27" spans="1:8" hidden="1" x14ac:dyDescent="0.3">
      <c r="E27" s="10"/>
      <c r="F27" s="10"/>
      <c r="G27" s="10"/>
      <c r="H27" s="10"/>
    </row>
    <row r="28" spans="1:8" x14ac:dyDescent="0.3">
      <c r="E28" s="10"/>
      <c r="F28" s="10"/>
      <c r="G28" s="10"/>
      <c r="H28" s="10"/>
    </row>
    <row r="29" spans="1:8" ht="15.6" x14ac:dyDescent="0.35">
      <c r="A29" s="7" t="s">
        <v>16</v>
      </c>
      <c r="B29" s="5" t="s">
        <v>14</v>
      </c>
      <c r="C29" s="9" t="s">
        <v>17</v>
      </c>
      <c r="E29" s="10">
        <f>COUNTIF(C30:C35, "*P*")</f>
        <v>0</v>
      </c>
      <c r="F29" s="10">
        <f>COUNTIF(C30:C35, "*B*")</f>
        <v>0</v>
      </c>
      <c r="G29" s="10">
        <f>COUNTIF(C30:C35, "*O*")</f>
        <v>0</v>
      </c>
      <c r="H29" s="10"/>
    </row>
    <row r="30" spans="1:8" x14ac:dyDescent="0.3">
      <c r="A30" s="16"/>
      <c r="B30" s="13"/>
      <c r="C30" s="13"/>
      <c r="E30" s="10"/>
      <c r="F30" s="10"/>
      <c r="G30" s="10"/>
      <c r="H30" s="10"/>
    </row>
    <row r="31" spans="1:8" x14ac:dyDescent="0.3">
      <c r="A31" s="14"/>
      <c r="B31" s="14"/>
      <c r="C31" s="14"/>
      <c r="E31" s="10"/>
      <c r="F31" s="10"/>
      <c r="G31" s="10"/>
      <c r="H31" s="10"/>
    </row>
    <row r="32" spans="1:8" x14ac:dyDescent="0.3">
      <c r="A32" s="17"/>
      <c r="B32" s="14"/>
      <c r="C32" s="14"/>
    </row>
    <row r="33" spans="1:7" x14ac:dyDescent="0.3">
      <c r="A33" s="17"/>
      <c r="B33" s="14"/>
      <c r="C33" s="14"/>
    </row>
    <row r="34" spans="1:7" x14ac:dyDescent="0.3">
      <c r="A34" s="17"/>
      <c r="B34" s="14"/>
      <c r="C34" s="14"/>
    </row>
    <row r="35" spans="1:7" x14ac:dyDescent="0.3">
      <c r="A35" s="18"/>
      <c r="B35" s="15"/>
      <c r="C35" s="15"/>
    </row>
    <row r="36" spans="1:7" hidden="1" x14ac:dyDescent="0.3">
      <c r="A36" s="16"/>
      <c r="B36" s="16"/>
      <c r="C36" s="16"/>
    </row>
    <row r="37" spans="1:7" hidden="1" x14ac:dyDescent="0.3"/>
    <row r="39" spans="1:7" ht="15.6" x14ac:dyDescent="0.35">
      <c r="A39" s="7" t="s">
        <v>18</v>
      </c>
      <c r="B39" s="2" t="s">
        <v>14</v>
      </c>
      <c r="C39" s="7" t="s">
        <v>19</v>
      </c>
      <c r="E39" s="10">
        <f>COUNTIF(C40:C46, "*P*")</f>
        <v>0</v>
      </c>
      <c r="F39" s="10">
        <f>COUNTIF(C40:C46, "*B*")</f>
        <v>0</v>
      </c>
      <c r="G39" s="10">
        <f>COUNTIF(C40:C46, "*O*")</f>
        <v>0</v>
      </c>
    </row>
    <row r="40" spans="1:7" x14ac:dyDescent="0.3">
      <c r="A40" s="13"/>
      <c r="B40" s="13"/>
      <c r="C40" s="13"/>
    </row>
    <row r="41" spans="1:7" x14ac:dyDescent="0.3">
      <c r="A41" s="19"/>
      <c r="B41" s="14"/>
      <c r="C41" s="17"/>
    </row>
    <row r="42" spans="1:7" x14ac:dyDescent="0.3">
      <c r="A42" s="19"/>
      <c r="B42" s="14"/>
      <c r="C42" s="17"/>
    </row>
    <row r="43" spans="1:7" x14ac:dyDescent="0.3">
      <c r="A43" s="19"/>
      <c r="B43" s="14"/>
      <c r="C43" s="17"/>
      <c r="E43" s="11"/>
      <c r="F43" s="12"/>
      <c r="G43" s="11"/>
    </row>
    <row r="44" spans="1:7" x14ac:dyDescent="0.3">
      <c r="A44" s="19"/>
      <c r="B44" s="14"/>
      <c r="C44" s="17"/>
      <c r="E44" s="12"/>
      <c r="F44" s="12"/>
      <c r="G44" s="12"/>
    </row>
    <row r="45" spans="1:7" x14ac:dyDescent="0.3">
      <c r="A45" s="19"/>
      <c r="B45" s="14"/>
      <c r="C45" s="17"/>
    </row>
    <row r="46" spans="1:7" x14ac:dyDescent="0.3">
      <c r="A46" s="20"/>
      <c r="B46" s="15"/>
      <c r="C46" s="18"/>
    </row>
    <row r="47" spans="1:7" hidden="1" x14ac:dyDescent="0.3">
      <c r="A47" s="16"/>
      <c r="B47" s="16"/>
      <c r="C47" s="16"/>
    </row>
    <row r="48" spans="1:7" x14ac:dyDescent="0.3">
      <c r="A48" s="16"/>
      <c r="B48" s="16"/>
      <c r="C48" s="16"/>
    </row>
    <row r="49" spans="1:7" ht="15.6" x14ac:dyDescent="0.35">
      <c r="A49" s="7" t="s">
        <v>20</v>
      </c>
      <c r="B49" s="2" t="s">
        <v>14</v>
      </c>
      <c r="C49" s="7" t="s">
        <v>21</v>
      </c>
      <c r="E49" s="10">
        <f>COUNTIF(C50:C57, "*P*")</f>
        <v>0</v>
      </c>
      <c r="F49" s="10">
        <f>COUNTIF(C50:C57, "*B*")</f>
        <v>0</v>
      </c>
      <c r="G49" s="10">
        <f>COUNTIF(C50:C57, "*O*")</f>
        <v>0</v>
      </c>
    </row>
    <row r="50" spans="1:7" x14ac:dyDescent="0.3">
      <c r="A50" s="13"/>
      <c r="B50" s="13"/>
      <c r="C50" s="13"/>
    </row>
    <row r="51" spans="1:7" x14ac:dyDescent="0.3">
      <c r="A51" s="14"/>
      <c r="B51" s="14"/>
      <c r="C51" s="14"/>
    </row>
    <row r="52" spans="1:7" x14ac:dyDescent="0.3">
      <c r="A52" s="14"/>
      <c r="B52" s="14"/>
      <c r="C52" s="14"/>
    </row>
    <row r="53" spans="1:7" x14ac:dyDescent="0.3">
      <c r="A53" s="14"/>
      <c r="B53" s="14"/>
      <c r="C53" s="14"/>
    </row>
    <row r="54" spans="1:7" x14ac:dyDescent="0.3">
      <c r="A54" s="14"/>
      <c r="B54" s="14"/>
      <c r="C54" s="14"/>
    </row>
    <row r="55" spans="1:7" x14ac:dyDescent="0.3">
      <c r="A55" s="14"/>
      <c r="B55" s="14"/>
      <c r="C55" s="14"/>
    </row>
    <row r="56" spans="1:7" x14ac:dyDescent="0.3">
      <c r="A56" s="14"/>
      <c r="B56" s="14"/>
      <c r="C56" s="14"/>
    </row>
    <row r="57" spans="1:7" x14ac:dyDescent="0.3">
      <c r="A57" s="15"/>
      <c r="B57" s="15"/>
      <c r="C57" s="15"/>
    </row>
    <row r="58" spans="1:7" x14ac:dyDescent="0.3">
      <c r="A58" s="16"/>
      <c r="B58" s="16"/>
      <c r="C58" s="16"/>
    </row>
    <row r="59" spans="1:7" ht="15.6" x14ac:dyDescent="0.35">
      <c r="A59" s="7" t="s">
        <v>22</v>
      </c>
      <c r="B59" s="2" t="s">
        <v>14</v>
      </c>
      <c r="C59" s="7" t="s">
        <v>23</v>
      </c>
      <c r="E59" s="10">
        <f>COUNTIF(C60:C67, "*P*")</f>
        <v>0</v>
      </c>
      <c r="F59" s="10">
        <f>COUNTIF(C60:C67, "*B*")</f>
        <v>0</v>
      </c>
      <c r="G59" s="10">
        <f>COUNTIF(C60:C67, "*O*")</f>
        <v>0</v>
      </c>
    </row>
    <row r="60" spans="1:7" x14ac:dyDescent="0.3">
      <c r="A60" s="13"/>
      <c r="B60" s="13"/>
      <c r="C60" s="13"/>
    </row>
    <row r="61" spans="1:7" x14ac:dyDescent="0.3">
      <c r="A61" s="14"/>
      <c r="B61" s="14"/>
      <c r="C61" s="14"/>
    </row>
    <row r="62" spans="1:7" x14ac:dyDescent="0.3">
      <c r="A62" s="14"/>
      <c r="B62" s="14"/>
      <c r="C62" s="14"/>
    </row>
    <row r="63" spans="1:7" x14ac:dyDescent="0.3">
      <c r="A63" s="14"/>
      <c r="B63" s="14"/>
      <c r="C63" s="14"/>
    </row>
    <row r="64" spans="1:7" x14ac:dyDescent="0.3">
      <c r="A64" s="14"/>
      <c r="B64" s="14"/>
      <c r="C64" s="14"/>
    </row>
    <row r="65" spans="1:3" x14ac:dyDescent="0.3">
      <c r="A65" s="14"/>
      <c r="B65" s="14"/>
      <c r="C65" s="14"/>
    </row>
    <row r="66" spans="1:3" x14ac:dyDescent="0.3">
      <c r="A66" s="14"/>
      <c r="B66" s="14"/>
      <c r="C66" s="14"/>
    </row>
    <row r="67" spans="1:3" x14ac:dyDescent="0.3">
      <c r="A67" s="15"/>
      <c r="B67" s="15"/>
      <c r="C67" s="15"/>
    </row>
    <row r="68" spans="1:3" x14ac:dyDescent="0.3">
      <c r="A68" s="16"/>
      <c r="B68" s="16"/>
      <c r="C68" s="16"/>
    </row>
    <row r="69" spans="1:3" ht="15.6" x14ac:dyDescent="0.35">
      <c r="A69" s="7" t="s">
        <v>24</v>
      </c>
      <c r="B69" s="2" t="s">
        <v>14</v>
      </c>
      <c r="C69" s="7" t="s">
        <v>25</v>
      </c>
    </row>
    <row r="70" spans="1:3" x14ac:dyDescent="0.3">
      <c r="A70" s="13"/>
      <c r="B70" s="13"/>
      <c r="C70" s="13"/>
    </row>
    <row r="71" spans="1:3" x14ac:dyDescent="0.3">
      <c r="A71" s="14"/>
      <c r="B71" s="14"/>
      <c r="C71" s="14"/>
    </row>
    <row r="72" spans="1:3" x14ac:dyDescent="0.3">
      <c r="A72" s="14"/>
      <c r="B72" s="14"/>
      <c r="C72" s="14"/>
    </row>
    <row r="73" spans="1:3" x14ac:dyDescent="0.3">
      <c r="A73" s="14"/>
      <c r="B73" s="14"/>
      <c r="C73" s="14"/>
    </row>
    <row r="74" spans="1:3" x14ac:dyDescent="0.3">
      <c r="A74" s="14"/>
      <c r="B74" s="14"/>
      <c r="C74" s="14"/>
    </row>
    <row r="75" spans="1:3" x14ac:dyDescent="0.3">
      <c r="A75" s="14"/>
      <c r="B75" s="14"/>
      <c r="C75" s="14"/>
    </row>
    <row r="76" spans="1:3" x14ac:dyDescent="0.3">
      <c r="A76" s="14"/>
      <c r="B76" s="14"/>
      <c r="C76" s="14"/>
    </row>
    <row r="77" spans="1:3" x14ac:dyDescent="0.3">
      <c r="A77" s="15"/>
      <c r="B77" s="15"/>
      <c r="C77" s="15"/>
    </row>
    <row r="78" spans="1:3" x14ac:dyDescent="0.3">
      <c r="A78" s="16"/>
      <c r="B78" s="16"/>
      <c r="C78" s="16"/>
    </row>
  </sheetData>
  <mergeCells count="1">
    <mergeCell ref="A8:E8"/>
  </mergeCells>
  <conditionalFormatting sqref="A10:C77">
    <cfRule type="cellIs" dxfId="0" priority="1" operator="equal">
      <formula>"BOO"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oPruning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99060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Windows User</cp:lastModifiedBy>
  <cp:revision/>
  <dcterms:created xsi:type="dcterms:W3CDTF">2022-10-24T02:12:52Z</dcterms:created>
  <dcterms:modified xsi:type="dcterms:W3CDTF">2022-11-19T23:17:34Z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43354899-0864-4cd4-b42e-a8ae6c817c61</vt:lpwstr>
  </property>
</Properties>
</file>